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ithub\id-authentication\performance-test\"/>
    </mc:Choice>
  </mc:AlternateContent>
  <xr:revisionPtr revIDLastSave="0" documentId="13_ncr:1_{A67ABE90-333F-4229-B4A6-B8D89A4E6C52}" xr6:coauthVersionLast="36" xr6:coauthVersionMax="36" xr10:uidLastSave="{00000000-0000-0000-0000-000000000000}"/>
  <bookViews>
    <workbookView xWindow="0" yWindow="0" windowWidth="15345" windowHeight="4470" xr2:uid="{00F0FE37-4E08-4BBA-8E9E-0C9A5473C445}"/>
  </bookViews>
  <sheets>
    <sheet name="Calculator"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Deepesh Gurung</author>
  </authors>
  <commentList>
    <comment ref="C6" authorId="0" shapeId="0" xr:uid="{3C531CAA-56C7-4328-9131-AC83B070FF95}">
      <text>
        <r>
          <rPr>
            <b/>
            <sz val="9"/>
            <color indexed="81"/>
            <rFont val="Tahoma"/>
            <charset val="1"/>
          </rPr>
          <t>Deepesh Gurung:</t>
        </r>
        <r>
          <rPr>
            <sz val="9"/>
            <color indexed="81"/>
            <rFont val="Tahoma"/>
            <charset val="1"/>
          </rPr>
          <t xml:space="preserve">
These will come from Performance test plan.</t>
        </r>
      </text>
    </comment>
    <comment ref="D6" authorId="0" shapeId="0" xr:uid="{824635CD-5815-4206-AEC2-B47CF71BF378}">
      <text>
        <r>
          <rPr>
            <b/>
            <sz val="9"/>
            <color indexed="81"/>
            <rFont val="Tahoma"/>
            <charset val="1"/>
          </rPr>
          <t>Deepesh Gurung:</t>
        </r>
        <r>
          <rPr>
            <sz val="9"/>
            <color indexed="81"/>
            <rFont val="Tahoma"/>
            <charset val="1"/>
          </rPr>
          <t xml:space="preserve">
This value is obtained from Jmeter results during previous executions and dry runs</t>
        </r>
      </text>
    </comment>
    <comment ref="H6" authorId="0" shapeId="0" xr:uid="{312B15C7-E052-4521-9F3E-A39592156D52}">
      <text>
        <r>
          <rPr>
            <b/>
            <sz val="9"/>
            <color indexed="81"/>
            <rFont val="Tahoma"/>
            <charset val="1"/>
          </rPr>
          <t>Deepesh Gurung:</t>
        </r>
        <r>
          <rPr>
            <sz val="9"/>
            <color indexed="81"/>
            <rFont val="Tahoma"/>
            <charset val="1"/>
          </rPr>
          <t xml:space="preserve">
Apply these values in Jmeter thread setting.</t>
        </r>
      </text>
    </comment>
    <comment ref="K6" authorId="0" shapeId="0" xr:uid="{116B6488-269F-4E8B-8B4A-12C73CCC770F}">
      <text>
        <r>
          <rPr>
            <b/>
            <sz val="9"/>
            <color indexed="81"/>
            <rFont val="Tahoma"/>
            <charset val="1"/>
          </rPr>
          <t>Deepesh Gurung:</t>
        </r>
        <r>
          <rPr>
            <sz val="9"/>
            <color indexed="81"/>
            <rFont val="Tahoma"/>
            <charset val="1"/>
          </rPr>
          <t xml:space="preserve">
Apply this valie in Jmeter for "RampUp" variable under "user defined variables"</t>
        </r>
      </text>
    </comment>
  </commentList>
</comments>
</file>

<file path=xl/sharedStrings.xml><?xml version="1.0" encoding="utf-8"?>
<sst xmlns="http://schemas.openxmlformats.org/spreadsheetml/2006/main" count="24" uniqueCount="24">
  <si>
    <t>No. of Threads</t>
  </si>
  <si>
    <t>Scenarios</t>
  </si>
  <si>
    <t>From Performace Request Document</t>
  </si>
  <si>
    <t>Target Scenario TPS</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</si>
  <si>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</si>
  <si>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</si>
  <si>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</si>
  <si>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</si>
  <si>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</si>
  <si>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</si>
  <si>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</si>
  <si>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Constant Throughput Limit
(per minute)</t>
  </si>
  <si>
    <t>Totals --&gt;</t>
  </si>
  <si>
    <t>Fill in Required values in Yellow cells</t>
  </si>
  <si>
    <t>Delay between the initiation of new thread
(recommended - 2 secs)</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</si>
  <si>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</si>
  <si>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</si>
  <si>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</si>
  <si>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</si>
  <si>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Scenario Reponse Time
(From shakeout test)
 (ms) (Average)</t>
  </si>
  <si>
    <t>S01 Authentication with OTP</t>
  </si>
  <si>
    <t>S02 Authentication with Biometrics</t>
  </si>
  <si>
    <t>S03 Authentication with Demographics</t>
  </si>
  <si>
    <t>S04 EKYC with Biometrics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</si>
</sst>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70">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11" fillId="0" borderId="9" xfId="0" applyFont="1" applyFill="1" applyBorder="1" applyAlignment="1">
      <alignment horizontal="center" vertical="center" wrapText="1"/>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0" fillId="5" borderId="20" xfId="0" applyFill="1" applyBorder="1" applyAlignment="1">
      <alignment horizontal="center" wrapText="1"/>
    </xf>
    <xf numFmtId="0" fontId="0" fillId="0" borderId="0" xfId="0" applyAlignment="1">
      <alignment wrapText="1"/>
    </xf>
    <xf numFmtId="0" fontId="0" fillId="0" borderId="0" xfId="0" applyBorder="1" applyAlignment="1">
      <alignment wrapText="1"/>
    </xf>
    <xf numFmtId="0" fontId="0" fillId="2" borderId="15" xfId="0" applyFill="1" applyBorder="1" applyAlignment="1">
      <alignment horizontal="center" wrapText="1"/>
    </xf>
    <xf numFmtId="0" fontId="0" fillId="4" borderId="16" xfId="0" applyFont="1" applyFill="1" applyBorder="1" applyAlignment="1">
      <alignment wrapText="1"/>
    </xf>
    <xf numFmtId="0" fontId="0" fillId="4" borderId="5" xfId="0" applyFont="1" applyFill="1" applyBorder="1" applyAlignment="1">
      <alignment wrapText="1"/>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M12" sqref="M12"/>
    </sheetView>
  </sheetViews>
  <sheetFormatPr defaultRowHeight="15" x14ac:dyDescent="0.25"/>
  <cols>
    <col min="1" max="1" width="44" customWidth="1"/>
    <col min="2" max="2" width="12" bestFit="1" customWidth="1"/>
    <col min="3" max="3" width="11.42578125" customWidth="1"/>
    <col min="4" max="4" width="20.14062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9" t="s">
        <v>13</v>
      </c>
      <c r="B1" s="60"/>
      <c r="C1" s="60"/>
      <c r="D1" s="60"/>
      <c r="H1" s="61" t="s">
        <v>18</v>
      </c>
      <c r="I1" s="61"/>
      <c r="J1" s="61"/>
      <c r="K1" s="61"/>
    </row>
    <row r="2" spans="1:11" ht="27" customHeight="1" thickBot="1" x14ac:dyDescent="0.45">
      <c r="A2" s="62" t="s">
        <v>8</v>
      </c>
      <c r="B2" s="62"/>
      <c r="C2" s="63"/>
      <c r="D2" s="45">
        <v>100</v>
      </c>
      <c r="E2" s="2"/>
      <c r="F2" s="3"/>
      <c r="G2" s="2"/>
      <c r="H2" s="2"/>
      <c r="I2" s="2"/>
      <c r="J2" s="2"/>
      <c r="K2" s="1"/>
    </row>
    <row r="3" spans="1:11" ht="21.75" thickBot="1" x14ac:dyDescent="0.35">
      <c r="A3" s="57" t="s">
        <v>17</v>
      </c>
      <c r="B3" s="57"/>
      <c r="C3" s="58"/>
      <c r="D3" s="46">
        <f>$D$2*(SUM($E6:$E15)/($C$16*100))</f>
        <v>140</v>
      </c>
      <c r="E3" s="2"/>
      <c r="F3" s="3"/>
      <c r="G3" s="2"/>
      <c r="H3" s="2"/>
      <c r="I3" s="2"/>
      <c r="J3" s="2"/>
      <c r="K3" s="1"/>
    </row>
    <row r="4" spans="1:11" ht="26.25" thickBot="1" x14ac:dyDescent="0.3">
      <c r="A4" s="64" t="s">
        <v>2</v>
      </c>
      <c r="B4" s="65"/>
      <c r="C4" s="66"/>
      <c r="D4" s="44" t="s">
        <v>10</v>
      </c>
      <c r="E4" s="4"/>
      <c r="F4" s="2"/>
      <c r="G4" s="4"/>
      <c r="H4" s="67" t="s">
        <v>6</v>
      </c>
      <c r="I4" s="68"/>
      <c r="J4" s="68"/>
      <c r="K4" s="69"/>
    </row>
    <row r="5" spans="1:11" ht="60.75" thickBot="1" x14ac:dyDescent="0.3">
      <c r="A5" s="19" t="s">
        <v>1</v>
      </c>
      <c r="B5" s="20" t="s">
        <v>4</v>
      </c>
      <c r="C5" s="21" t="s">
        <v>5</v>
      </c>
      <c r="D5" s="22" t="s">
        <v>19</v>
      </c>
      <c r="E5" s="23" t="s">
        <v>9</v>
      </c>
      <c r="F5" s="19" t="s">
        <v>16</v>
      </c>
      <c r="G5" s="20" t="s">
        <v>3</v>
      </c>
      <c r="H5" s="24" t="s">
        <v>0</v>
      </c>
      <c r="I5" s="25" t="s">
        <v>11</v>
      </c>
      <c r="J5" s="28"/>
      <c r="K5" s="21" t="s">
        <v>7</v>
      </c>
    </row>
    <row r="6" spans="1:11" s="49" customFormat="1" x14ac:dyDescent="0.25">
      <c r="A6" s="52" t="s">
        <v>20</v>
      </c>
      <c r="B6" s="31">
        <v>2</v>
      </c>
      <c r="C6" s="32">
        <v>40</v>
      </c>
      <c r="D6" s="33">
        <v>1000</v>
      </c>
      <c r="E6" s="10">
        <f>$C6*$B6</f>
        <v>80</v>
      </c>
      <c r="F6" s="11">
        <f t="shared" ref="F6:F15" si="0">$D$3*$E6/SUM($E$6:$E$16)</f>
        <v>80</v>
      </c>
      <c r="G6" s="12">
        <f t="shared" ref="G6:G15" si="1">IF(ISNUMBER(B6),F6/B6,"")</f>
        <v>40</v>
      </c>
      <c r="H6" s="15">
        <f>IF(ISNUMBER($D6*$G6),ROUNDUP($D6*$G6/1000+1,0),"")</f>
        <v>41</v>
      </c>
      <c r="I6" s="16">
        <f>ROUNDUP($F6,0)*60</f>
        <v>4800</v>
      </c>
      <c r="J6" s="29"/>
      <c r="K6" s="48">
        <f>$H$16*K12</f>
        <v>208</v>
      </c>
    </row>
    <row r="7" spans="1:11" s="49" customFormat="1" ht="15.75" thickBot="1" x14ac:dyDescent="0.3">
      <c r="A7" s="53" t="s">
        <v>21</v>
      </c>
      <c r="B7" s="34">
        <v>1</v>
      </c>
      <c r="C7" s="35">
        <v>25</v>
      </c>
      <c r="D7" s="36">
        <v>1000</v>
      </c>
      <c r="E7" s="10">
        <f t="shared" ref="E7:E15" si="2">$C7*$B7</f>
        <v>25</v>
      </c>
      <c r="F7" s="7">
        <f t="shared" si="0"/>
        <v>25</v>
      </c>
      <c r="G7" s="5">
        <f t="shared" si="1"/>
        <v>25</v>
      </c>
      <c r="H7" s="15">
        <f t="shared" ref="H7:H15" si="3">IF(ISNUMBER($D7*$G7),ROUNDUP($D7*$G7/1000+1,0),"")</f>
        <v>26</v>
      </c>
      <c r="I7" s="16">
        <f t="shared" ref="I7:I15" si="4">ROUNDUP($F7,0)*60</f>
        <v>1500</v>
      </c>
      <c r="J7" s="29"/>
      <c r="K7" s="50"/>
    </row>
    <row r="8" spans="1:11" s="49" customFormat="1" x14ac:dyDescent="0.25">
      <c r="A8" s="53" t="s">
        <v>22</v>
      </c>
      <c r="B8" s="34">
        <v>1</v>
      </c>
      <c r="C8" s="35">
        <v>15</v>
      </c>
      <c r="D8" s="36">
        <v>1000</v>
      </c>
      <c r="E8" s="10">
        <f t="shared" si="2"/>
        <v>15</v>
      </c>
      <c r="F8" s="7">
        <f t="shared" si="0"/>
        <v>15</v>
      </c>
      <c r="G8" s="5">
        <f t="shared" si="1"/>
        <v>15</v>
      </c>
      <c r="H8" s="15">
        <f t="shared" si="3"/>
        <v>16</v>
      </c>
      <c r="I8" s="26">
        <f t="shared" si="4"/>
        <v>900</v>
      </c>
      <c r="J8" s="29"/>
      <c r="K8" s="54" t="s">
        <v>14</v>
      </c>
    </row>
    <row r="9" spans="1:11" s="49" customFormat="1" x14ac:dyDescent="0.25">
      <c r="A9" s="53" t="s">
        <v>23</v>
      </c>
      <c r="B9" s="34">
        <v>1</v>
      </c>
      <c r="C9" s="35">
        <v>20</v>
      </c>
      <c r="D9" s="36">
        <v>1000</v>
      </c>
      <c r="E9" s="10">
        <f t="shared" si="2"/>
        <v>20</v>
      </c>
      <c r="F9" s="7">
        <f t="shared" si="0"/>
        <v>20</v>
      </c>
      <c r="G9" s="5">
        <f t="shared" si="1"/>
        <v>20</v>
      </c>
      <c r="H9" s="15">
        <f t="shared" si="3"/>
        <v>21</v>
      </c>
      <c r="I9" s="26">
        <f t="shared" si="4"/>
        <v>1200</v>
      </c>
      <c r="J9" s="29"/>
      <c r="K9" s="55"/>
    </row>
    <row r="10" spans="1:11" s="49" customFormat="1" x14ac:dyDescent="0.25">
      <c r="A10" s="53"/>
      <c r="B10" s="34"/>
      <c r="C10" s="35"/>
      <c r="D10" s="36"/>
      <c r="E10" s="10">
        <f t="shared" si="2"/>
        <v>0</v>
      </c>
      <c r="F10" s="7">
        <f t="shared" si="0"/>
        <v>0</v>
      </c>
      <c r="G10" s="5" t="str">
        <f t="shared" si="1"/>
        <v/>
      </c>
      <c r="H10" s="15" t="str">
        <f t="shared" si="3"/>
        <v/>
      </c>
      <c r="I10" s="16">
        <f t="shared" si="4"/>
        <v>0</v>
      </c>
      <c r="J10" s="29"/>
      <c r="K10" s="55"/>
    </row>
    <row r="11" spans="1:11" s="49" customFormat="1" ht="15" customHeight="1" thickBot="1" x14ac:dyDescent="0.3">
      <c r="A11" s="53"/>
      <c r="B11" s="37"/>
      <c r="C11" s="38"/>
      <c r="D11" s="39"/>
      <c r="E11" s="10">
        <f t="shared" si="2"/>
        <v>0</v>
      </c>
      <c r="F11" s="7">
        <f t="shared" si="0"/>
        <v>0</v>
      </c>
      <c r="G11" s="5" t="str">
        <f t="shared" si="1"/>
        <v/>
      </c>
      <c r="H11" s="15" t="str">
        <f t="shared" si="3"/>
        <v/>
      </c>
      <c r="I11" s="16">
        <f t="shared" si="4"/>
        <v>0</v>
      </c>
      <c r="J11" s="29"/>
      <c r="K11" s="56"/>
    </row>
    <row r="12" spans="1:11" s="49" customFormat="1" ht="15.75" thickBot="1" x14ac:dyDescent="0.3">
      <c r="A12" s="53"/>
      <c r="B12" s="37"/>
      <c r="C12" s="38"/>
      <c r="D12" s="39"/>
      <c r="E12" s="10">
        <f t="shared" si="2"/>
        <v>0</v>
      </c>
      <c r="F12" s="7">
        <f t="shared" si="0"/>
        <v>0</v>
      </c>
      <c r="G12" s="5" t="str">
        <f t="shared" si="1"/>
        <v/>
      </c>
      <c r="H12" s="15" t="str">
        <f t="shared" si="3"/>
        <v/>
      </c>
      <c r="I12" s="16">
        <f t="shared" si="4"/>
        <v>0</v>
      </c>
      <c r="J12" s="30"/>
      <c r="K12" s="51">
        <v>2</v>
      </c>
    </row>
    <row r="13" spans="1:11" s="49" customFormat="1" x14ac:dyDescent="0.25">
      <c r="A13" s="53"/>
      <c r="B13" s="34"/>
      <c r="C13" s="35"/>
      <c r="D13" s="40"/>
      <c r="E13" s="10">
        <f t="shared" si="2"/>
        <v>0</v>
      </c>
      <c r="F13" s="7">
        <f t="shared" si="0"/>
        <v>0</v>
      </c>
      <c r="G13" s="5" t="str">
        <f t="shared" si="1"/>
        <v/>
      </c>
      <c r="H13" s="15" t="str">
        <f t="shared" si="3"/>
        <v/>
      </c>
      <c r="I13" s="16">
        <f t="shared" si="4"/>
        <v>0</v>
      </c>
      <c r="J13" s="30"/>
    </row>
    <row r="14" spans="1:11" s="49" customFormat="1" x14ac:dyDescent="0.25">
      <c r="A14" s="53"/>
      <c r="B14" s="34"/>
      <c r="C14" s="35"/>
      <c r="D14" s="36"/>
      <c r="E14" s="10">
        <f t="shared" si="2"/>
        <v>0</v>
      </c>
      <c r="F14" s="7">
        <f t="shared" si="0"/>
        <v>0</v>
      </c>
      <c r="G14" s="5" t="str">
        <f t="shared" si="1"/>
        <v/>
      </c>
      <c r="H14" s="15" t="str">
        <f t="shared" si="3"/>
        <v/>
      </c>
      <c r="I14" s="16">
        <f t="shared" si="4"/>
        <v>0</v>
      </c>
      <c r="J14" s="30"/>
    </row>
    <row r="15" spans="1:11" s="49" customFormat="1" ht="15.75" thickBot="1" x14ac:dyDescent="0.3">
      <c r="A15" s="18"/>
      <c r="B15" s="41"/>
      <c r="C15" s="42"/>
      <c r="D15" s="43"/>
      <c r="E15" s="10">
        <f t="shared" si="2"/>
        <v>0</v>
      </c>
      <c r="F15" s="8">
        <f t="shared" si="0"/>
        <v>0</v>
      </c>
      <c r="G15" s="9" t="str">
        <f t="shared" si="1"/>
        <v/>
      </c>
      <c r="H15" s="15" t="str">
        <f t="shared" si="3"/>
        <v/>
      </c>
      <c r="I15" s="16">
        <f t="shared" si="4"/>
        <v>0</v>
      </c>
      <c r="J15" s="30"/>
    </row>
    <row r="16" spans="1:11" ht="19.5" thickBot="1" x14ac:dyDescent="0.3">
      <c r="C16" s="27" t="str">
        <f>_xlfn.CONCAT(SUM(C6:C15)," %")</f>
        <v>100 %</v>
      </c>
      <c r="D16" s="13" t="s">
        <v>12</v>
      </c>
      <c r="E16" s="6"/>
      <c r="F16" s="47">
        <f>SUM(F6:F15)</f>
        <v>140</v>
      </c>
      <c r="G16" s="14">
        <f>SUM(G6:G15)</f>
        <v>100</v>
      </c>
      <c r="H16" s="17">
        <f>SUM(H6:H15)</f>
        <v>104</v>
      </c>
    </row>
    <row r="17" spans="1:1" x14ac:dyDescent="0.25">
      <c r="A17" t="s">
        <v>15</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2025-11-11T09:21:35Z</dcterms:modified>
</cp:coreProperties>
</file>